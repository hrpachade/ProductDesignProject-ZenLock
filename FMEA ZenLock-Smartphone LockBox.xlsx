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pennstateoffice365-my.sharepoint.com/personal/hrp5164_psu_edu/Documents/"/>
    </mc:Choice>
  </mc:AlternateContent>
  <xr:revisionPtr revIDLastSave="0" documentId="8_{3932968F-42A4-4F3D-8BE6-36D30B738695}" xr6:coauthVersionLast="47" xr6:coauthVersionMax="47" xr10:uidLastSave="{00000000-0000-0000-0000-000000000000}"/>
  <bookViews>
    <workbookView xWindow="-108" yWindow="-108" windowWidth="23256" windowHeight="12456" xr2:uid="{CAE3F66B-3F69-48C4-A586-3D028CFA48F0}"/>
  </bookViews>
  <sheets>
    <sheet name="Sheet1" sheetId="1" r:id="rId1"/>
    <sheet name="Sheet2" sheetId="2" r:id="rId2"/>
    <sheet name="Sheet3" sheetId="3" r:id="rId3"/>
  </sheets>
  <definedNames>
    <definedName name="_xlnm.Print_Area" localSheetId="0">Sheet1!$B$2:$R$26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1" l="1"/>
  <c r="R18" i="1"/>
  <c r="R19" i="1"/>
  <c r="R20" i="1"/>
  <c r="R11" i="1"/>
  <c r="R12" i="1"/>
  <c r="R13" i="1"/>
  <c r="R14" i="1"/>
  <c r="R15" i="1"/>
  <c r="R16" i="1"/>
  <c r="K12" i="1"/>
  <c r="K13" i="1"/>
  <c r="K14" i="1"/>
  <c r="K15" i="1"/>
  <c r="K16" i="1"/>
  <c r="K17" i="1"/>
  <c r="K18" i="1"/>
  <c r="K19" i="1"/>
  <c r="K20" i="1"/>
  <c r="K11" i="1"/>
</calcChain>
</file>

<file path=xl/sharedStrings.xml><?xml version="1.0" encoding="utf-8"?>
<sst xmlns="http://schemas.openxmlformats.org/spreadsheetml/2006/main" count="120" uniqueCount="114">
  <si>
    <t>FAILURE MODE AND EFFECTS ANALYSIS</t>
  </si>
  <si>
    <t>FMEA #</t>
  </si>
  <si>
    <t>TYPE:</t>
  </si>
  <si>
    <t>Core Team:</t>
  </si>
  <si>
    <t>Hemanth Pachade</t>
  </si>
  <si>
    <t>Page:</t>
  </si>
  <si>
    <t>__1__ of ___1__</t>
  </si>
  <si>
    <t>_-_ SYSTEM</t>
  </si>
  <si>
    <t>Nick Ashworth</t>
  </si>
  <si>
    <t>Prepared by:</t>
  </si>
  <si>
    <t>HSnP Solutions</t>
  </si>
  <si>
    <t>__ DESIGN</t>
  </si>
  <si>
    <t>Overall Product or Process Name:</t>
  </si>
  <si>
    <t>ZenLock Smart LockBox</t>
  </si>
  <si>
    <t>Steven Traczik</t>
  </si>
  <si>
    <t>Date:</t>
  </si>
  <si>
    <t>__ PROCESS</t>
  </si>
  <si>
    <t>Design or Process Responisibility:</t>
  </si>
  <si>
    <t>Design</t>
  </si>
  <si>
    <t>Phyllip Gwozdz</t>
  </si>
  <si>
    <t>Revisions:</t>
  </si>
  <si>
    <r>
      <rPr>
        <b/>
        <sz val="12"/>
        <color rgb="FF00B050"/>
        <rFont val="Arial"/>
        <family val="2"/>
      </rPr>
      <t>_-_ System</t>
    </r>
    <r>
      <rPr>
        <sz val="12"/>
        <rFont val="Arial"/>
        <family val="2"/>
      </rPr>
      <t xml:space="preserve">
__ Subsystem
__ Component
__ Process</t>
    </r>
  </si>
  <si>
    <t>Name and Function</t>
  </si>
  <si>
    <t>Potential Failure Mode</t>
  </si>
  <si>
    <t>Potential Effects of Failure</t>
  </si>
  <si>
    <t>Severity 
(S: 1=none, 10=hazardous)</t>
  </si>
  <si>
    <t>Causes 
and/or 
Failure Mechanisms</t>
  </si>
  <si>
    <t>Frequency Rating 
(F: 1=1/1.5M , 10=1/2)</t>
  </si>
  <si>
    <t>Current Design or Process Controls</t>
  </si>
  <si>
    <t>Detection Effectiveness 
(D: 1=certain, 10=none)</t>
  </si>
  <si>
    <t>Risk Priority # (SxFxD)</t>
  </si>
  <si>
    <t>Recommended Action(s)</t>
  </si>
  <si>
    <t>Person(s) Responsible 
and Target 
Completion
Date</t>
  </si>
  <si>
    <t>ACTION RESULTS</t>
  </si>
  <si>
    <t>Actions Taken</t>
  </si>
  <si>
    <t>Severity</t>
  </si>
  <si>
    <t>Frequency</t>
  </si>
  <si>
    <t>Detection</t>
  </si>
  <si>
    <t>Risk Priority #</t>
  </si>
  <si>
    <t>Stress, Strain, Deformation - Box should withstand force</t>
  </si>
  <si>
    <t>Box cracks or deforms</t>
  </si>
  <si>
    <t>Outer or Inner Box Structure Damaged</t>
  </si>
  <si>
    <t>Elastic/plastic deformation under load due to insuffiecient cover thickness</t>
  </si>
  <si>
    <t>FEA analysis performed for worst case load</t>
  </si>
  <si>
    <t>Add thicker sections at load paths to increase stress concentration points</t>
  </si>
  <si>
    <t>Hemanth- 11/18</t>
  </si>
  <si>
    <t>Icreased wall thickness at load paths</t>
  </si>
  <si>
    <t>Structural Flexibility - Withstand bending and twisting</t>
  </si>
  <si>
    <t xml:space="preserve">Case Snaps </t>
  </si>
  <si>
    <t>Box breaks during normal use or poor durability</t>
  </si>
  <si>
    <t xml:space="preserve">Overall geometry unsupported causing excessive bending </t>
  </si>
  <si>
    <t>Bend Test was performed to verify</t>
  </si>
  <si>
    <t>Add internal cross joints to increase stiffness without adding weight</t>
  </si>
  <si>
    <t>Added internal cross members to increase stiffness</t>
  </si>
  <si>
    <t>Prevent Forced entry</t>
  </si>
  <si>
    <t>Hinges crack/impact</t>
  </si>
  <si>
    <t>Low reliability if box can be forced open</t>
  </si>
  <si>
    <t>Poor or thin material on box</t>
  </si>
  <si>
    <t>Using thicker materials</t>
  </si>
  <si>
    <t>Hinge Stress Test</t>
  </si>
  <si>
    <t>Steven - 11/18</t>
  </si>
  <si>
    <t>Hinge Test identified areas needed to be thicker</t>
  </si>
  <si>
    <t>Create latch durability/Protect phone from a drop</t>
  </si>
  <si>
    <t>Latch pulled too hard</t>
  </si>
  <si>
    <t>Latch breaks</t>
  </si>
  <si>
    <t>User pulls on the latch too hard when it is locked or in general</t>
  </si>
  <si>
    <t>None</t>
  </si>
  <si>
    <t>Use thicker material or TPU and test strength in SW</t>
  </si>
  <si>
    <t>Phyllip - 11/18</t>
  </si>
  <si>
    <t>Strength Test in SW, Using TPU</t>
  </si>
  <si>
    <t>Heat Durability - Box should withstand heat in various environments</t>
  </si>
  <si>
    <t>Box traps heat causing damage to phone</t>
  </si>
  <si>
    <t>Phone damage to battery</t>
  </si>
  <si>
    <t>Material softening or creep at higher temperatures, phones inside suffer heat issues</t>
  </si>
  <si>
    <t>Thermal Analysis showed a the box is able to withstand a temp range of (-20 C to 60 C)</t>
  </si>
  <si>
    <t>Add thermal features like vents or open spaces to help heat escape</t>
  </si>
  <si>
    <t>Hemanth-11/18</t>
  </si>
  <si>
    <t>Added vents and thermal paths to help heat travel</t>
  </si>
  <si>
    <t>Drop impact testing - Protect phone from drops</t>
  </si>
  <si>
    <t>Drop from elevated surface/height</t>
  </si>
  <si>
    <t>Crack or shatter</t>
  </si>
  <si>
    <t>User drops the lock box from an elevated height in transit</t>
  </si>
  <si>
    <t>N/A</t>
  </si>
  <si>
    <t>Add rubber/silicon casing around the box</t>
  </si>
  <si>
    <t>Nick - 11/18</t>
  </si>
  <si>
    <t>Create a molding/case to protect the housing unit</t>
  </si>
  <si>
    <t>Enabling Emergency Overide</t>
  </si>
  <si>
    <t>Emergency release failure</t>
  </si>
  <si>
    <t>Cant open box quickly in emergency</t>
  </si>
  <si>
    <t>Poor design on release function</t>
  </si>
  <si>
    <t>Strong wall thickness</t>
  </si>
  <si>
    <t>Manual Testing</t>
  </si>
  <si>
    <t>Tested manually within trying to force open</t>
  </si>
  <si>
    <t>Fit/Geometry Accuracy - ensure phone fits fully</t>
  </si>
  <si>
    <t>Phone does not fit fully</t>
  </si>
  <si>
    <t>Improper phone retention, no locking</t>
  </si>
  <si>
    <t>Dimensional tolerances too lose causes phone to rattle or shift</t>
  </si>
  <si>
    <t>Design based off of specific target phone not accounting for smaller variations</t>
  </si>
  <si>
    <t xml:space="preserve">Add in small liner or smaller insert to accomodate smaller variations </t>
  </si>
  <si>
    <t>Defined phone max dimensions and all the supported models</t>
  </si>
  <si>
    <t>Manufacturability- Ensure proper manufacturability of product</t>
  </si>
  <si>
    <t>3D Print Orientation Wrong</t>
  </si>
  <si>
    <t>Too much support material, Print failure</t>
  </si>
  <si>
    <t>Slicer not used correctly</t>
  </si>
  <si>
    <t>Print result considered when slicing</t>
  </si>
  <si>
    <t>Ensure all factors considered when slicing</t>
  </si>
  <si>
    <t>Checked Slicer for Print</t>
  </si>
  <si>
    <t>Provide user convience</t>
  </si>
  <si>
    <t>Box size not compatible with larger phones</t>
  </si>
  <si>
    <t>low usability, customer disatifiction</t>
  </si>
  <si>
    <t>Poor dimension planning</t>
  </si>
  <si>
    <t>Fit Testing</t>
  </si>
  <si>
    <t>Fitted box to largest phone on current market with room for a larger device</t>
  </si>
  <si>
    <t xml:space="preserve">1)Stress, Strain, Deformation – Box Should Withstand Force: 
The main issue is that the box can bend or crack when force is applied because some of the walls and cover sections are too thin to handle the load. When the material is too weak or the design doesn’t properly support the force, the plastic starts to deform and can eventually break. This happens especially at spots where stress builds up, like corners or flat areas without support. If the print orientation or slicer settings aren’t ideal, the box becomes even weaker. Altogether, these factors make the box unable to withstand normal pressure, so the solution is to thicken the walls in key areas and reinforce the design, so it stays strong under load.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</si>
</sst>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ont>
    <font>
      <sz val="12"/>
      <name val="Arial"/>
      <family val="2"/>
    </font>
    <font>
      <b/>
      <sz val="12"/>
      <name val="Arial"/>
      <family val="2"/>
    </font>
    <font>
      <sz val="10"/>
      <name val="Arial"/>
      <family val="2"/>
    </font>
    <font>
      <b/>
      <sz val="12"/>
      <color rgb="FF00B050"/>
      <name val="Arial"/>
      <family val="2"/>
    </font>
    <font>
      <sz val="10"/>
      <color rgb="FF000000"/>
      <name val="Arial"/>
      <family val="2"/>
    </font>
  </fonts>
  <fills count="3">
    <fill>
      <patternFill patternType="none"/>
    </fill>
    <fill>
      <patternFill patternType="gray125"/>
    </fill>
    <fill>
      <patternFill patternType="solid">
        <fgColor rgb="FFFFFF0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9">
    <xf numFmtId="0" fontId="0" fillId="0" borderId="0" xfId="0"/>
    <xf numFmtId="0" fontId="0" fillId="0" borderId="0" xfId="0" applyAlignment="1">
      <alignment wrapText="1"/>
    </xf>
    <xf numFmtId="0" fontId="0" fillId="0" borderId="0" xfId="0" applyAlignment="1">
      <alignment horizontal="right"/>
    </xf>
    <xf numFmtId="0" fontId="1" fillId="0" borderId="0" xfId="0" applyFont="1"/>
    <xf numFmtId="0" fontId="1" fillId="0" borderId="0" xfId="0" applyFont="1" applyAlignment="1">
      <alignment horizontal="right"/>
    </xf>
    <xf numFmtId="0" fontId="1" fillId="0" borderId="2" xfId="0" applyFont="1" applyBorder="1" applyAlignment="1">
      <alignment horizontal="center" vertical="center" wrapText="1"/>
    </xf>
    <xf numFmtId="0" fontId="1" fillId="0" borderId="2" xfId="0" applyFont="1" applyBorder="1" applyAlignment="1">
      <alignment horizontal="center" vertical="center" textRotation="90" wrapText="1"/>
    </xf>
    <xf numFmtId="0" fontId="0" fillId="0" borderId="3" xfId="0" applyBorder="1"/>
    <xf numFmtId="0" fontId="0" fillId="0" borderId="4" xfId="0" applyBorder="1"/>
    <xf numFmtId="0" fontId="0" fillId="0" borderId="5" xfId="0" applyBorder="1"/>
    <xf numFmtId="0" fontId="0" fillId="0" borderId="6" xfId="0" applyBorder="1"/>
    <xf numFmtId="0" fontId="1" fillId="0" borderId="6" xfId="0" applyFont="1" applyBorder="1" applyAlignment="1">
      <alignment horizontal="right"/>
    </xf>
    <xf numFmtId="0" fontId="1" fillId="0" borderId="6" xfId="0" applyFont="1" applyBorder="1"/>
    <xf numFmtId="0" fontId="1" fillId="0" borderId="7" xfId="0" applyFont="1" applyBorder="1"/>
    <xf numFmtId="0" fontId="0" fillId="0" borderId="8" xfId="0" applyBorder="1"/>
    <xf numFmtId="0" fontId="1" fillId="2" borderId="0" xfId="0" applyFont="1" applyFill="1"/>
    <xf numFmtId="0" fontId="3" fillId="0" borderId="1" xfId="0" applyFont="1" applyBorder="1"/>
    <xf numFmtId="0" fontId="3" fillId="0" borderId="8" xfId="0" applyFont="1" applyBorder="1"/>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0" fillId="0" borderId="9" xfId="0" applyBorder="1" applyAlignment="1">
      <alignment horizontal="center" vertical="center" wrapText="1"/>
    </xf>
    <xf numFmtId="0" fontId="3" fillId="0" borderId="2" xfId="0" applyFont="1" applyBorder="1" applyAlignment="1">
      <alignment horizontal="center" vertical="center" wrapText="1"/>
    </xf>
    <xf numFmtId="0" fontId="0" fillId="0" borderId="11" xfId="0" applyBorder="1" applyAlignment="1">
      <alignment horizontal="center" vertical="center" wrapText="1"/>
    </xf>
    <xf numFmtId="0" fontId="3" fillId="0" borderId="13" xfId="0" applyFont="1" applyBorder="1"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5" fillId="0" borderId="13" xfId="0" applyFont="1" applyBorder="1" applyAlignment="1">
      <alignment horizontal="center" vertical="center"/>
    </xf>
    <xf numFmtId="0" fontId="5" fillId="0" borderId="13" xfId="0" applyFont="1" applyBorder="1" applyAlignment="1">
      <alignment horizontal="center" vertical="center" wrapText="1"/>
    </xf>
    <xf numFmtId="0" fontId="2" fillId="0" borderId="4" xfId="0" applyFont="1" applyBorder="1" applyAlignment="1">
      <alignment horizontal="center"/>
    </xf>
    <xf numFmtId="0" fontId="1" fillId="0" borderId="9" xfId="0" applyFont="1" applyBorder="1" applyAlignment="1">
      <alignment horizontal="center" vertical="center" textRotation="90" wrapText="1"/>
    </xf>
    <xf numFmtId="0" fontId="1" fillId="0" borderId="10" xfId="0" applyFont="1" applyBorder="1" applyAlignment="1">
      <alignment horizontal="center" vertical="center" textRotation="90"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 xfId="0" applyFont="1" applyBorder="1" applyAlignment="1">
      <alignment horizontal="center"/>
    </xf>
    <xf numFmtId="0" fontId="1" fillId="0" borderId="0" xfId="0" applyFont="1" applyAlignment="1">
      <alignment horizontal="right"/>
    </xf>
    <xf numFmtId="0" fontId="0" fillId="0" borderId="13" xfId="0" applyBorder="1" applyAlignment="1">
      <alignment horizontal="center" vertical="center" wrapText="1"/>
    </xf>
    <xf numFmtId="0" fontId="0" fillId="0" borderId="0" xfId="0" applyAlignment="1">
      <alignment horizontal="center"/>
    </xf>
    <xf numFmtId="0" fontId="0" fillId="0" borderId="7" xfId="0" applyBorder="1" applyAlignment="1">
      <alignment horizontal="center"/>
    </xf>
    <xf numFmtId="0" fontId="3" fillId="0" borderId="0" xfId="0" applyFont="1" applyAlignment="1">
      <alignment horizontal="center"/>
    </xf>
    <xf numFmtId="14" fontId="0" fillId="0" borderId="0" xfId="0" applyNumberFormat="1" applyAlignment="1">
      <alignment horizontal="center"/>
    </xf>
    <xf numFmtId="0" fontId="1" fillId="0" borderId="11" xfId="0" applyFont="1" applyBorder="1" applyAlignment="1">
      <alignment horizontal="center"/>
    </xf>
    <xf numFmtId="0" fontId="1" fillId="0" borderId="8" xfId="0" applyFont="1" applyBorder="1" applyAlignment="1">
      <alignment horizontal="center"/>
    </xf>
    <xf numFmtId="0" fontId="1" fillId="0" borderId="12" xfId="0" applyFont="1" applyBorder="1" applyAlignment="1">
      <alignment horizontal="center"/>
    </xf>
    <xf numFmtId="0" fontId="0" fillId="0" borderId="10" xfId="0" applyBorder="1" applyAlignment="1">
      <alignment horizontal="center" vertical="center" wrapText="1"/>
    </xf>
    <xf numFmtId="0" fontId="0" fillId="0" borderId="2" xfId="0" applyBorder="1" applyAlignment="1">
      <alignment horizontal="center" vertical="center" wrapText="1"/>
    </xf>
    <xf numFmtId="0" fontId="0" fillId="0" borderId="9" xfId="0" applyBorder="1" applyAlignment="1">
      <alignment horizontal="center" vertical="center" wrapText="1"/>
    </xf>
    <xf numFmtId="0" fontId="3" fillId="0" borderId="13" xfId="0" applyFont="1" applyBorder="1" applyAlignment="1">
      <alignment horizontal="center" vertical="center" wrapText="1"/>
    </xf>
    <xf numFmtId="0" fontId="1" fillId="0" borderId="13" xfId="0" applyFont="1" applyBorder="1" applyAlignment="1">
      <alignment horizontal="left" vertical="top" wrapText="1"/>
    </xf>
    <xf numFmtId="0" fontId="1" fillId="0" borderId="1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0" fillId="0" borderId="0" xfId="0"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304800</xdr:colOff>
      <xdr:row>0</xdr:row>
      <xdr:rowOff>9525</xdr:rowOff>
    </xdr:from>
    <xdr:to>
      <xdr:col>39</xdr:col>
      <xdr:colOff>542925</xdr:colOff>
      <xdr:row>27</xdr:row>
      <xdr:rowOff>228600</xdr:rowOff>
    </xdr:to>
    <xdr:sp macro="" textlink="">
      <xdr:nvSpPr>
        <xdr:cNvPr id="22" name="TextBox 1">
          <a:extLst>
            <a:ext uri="{FF2B5EF4-FFF2-40B4-BE49-F238E27FC236}">
              <a16:creationId xmlns:a16="http://schemas.microsoft.com/office/drawing/2014/main" id="{5C9C06B3-1A22-E599-4EC1-4C7C8DB607BE}"/>
            </a:ext>
          </a:extLst>
        </xdr:cNvPr>
        <xdr:cNvSpPr txBox="1"/>
      </xdr:nvSpPr>
      <xdr:spPr>
        <a:xfrm>
          <a:off x="19411950" y="9525"/>
          <a:ext cx="13039725" cy="100679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600" b="1" i="0" u="none" strike="noStrike">
              <a:solidFill>
                <a:srgbClr val="000000"/>
              </a:solidFill>
              <a:latin typeface="Aptos Narrow" panose="020B0004020202020204" pitchFamily="34" charset="0"/>
            </a:rPr>
            <a:t>Top</a:t>
          </a:r>
          <a:r>
            <a:rPr lang="en-US" sz="1600" b="1" i="0" u="none" strike="noStrike" baseline="0">
              <a:solidFill>
                <a:srgbClr val="000000"/>
              </a:solidFill>
              <a:latin typeface="Aptos Narrow" panose="020B0004020202020204" pitchFamily="34" charset="0"/>
            </a:rPr>
            <a:t> </a:t>
          </a:r>
          <a:r>
            <a:rPr lang="en-US" sz="1600" b="1" i="0" u="none" strike="noStrike">
              <a:solidFill>
                <a:srgbClr val="000000"/>
              </a:solidFill>
              <a:latin typeface="Aptos Narrow" panose="020B0004020202020204" pitchFamily="34" charset="0"/>
            </a:rPr>
            <a:t>5 Leading Failure Modes</a:t>
          </a:r>
          <a:endParaRPr lang="en-US" sz="1600" b="0" i="0" u="none" strike="noStrike">
            <a:solidFill>
              <a:srgbClr val="000000"/>
            </a:solidFill>
            <a:latin typeface="Aptos Narrow" panose="020B0004020202020204" pitchFamily="34" charset="0"/>
          </a:endParaRPr>
        </a:p>
        <a:p>
          <a:pPr marL="0" indent="0" algn="l"/>
          <a:endParaRPr lang="en-US" sz="1600" b="0" i="0" u="none" strike="noStrike">
            <a:solidFill>
              <a:srgbClr val="000000"/>
            </a:solidFill>
            <a:latin typeface="Aptos Narrow" panose="020B0004020202020204" pitchFamily="34" charset="0"/>
          </a:endParaRPr>
        </a:p>
        <a:p>
          <a:pPr marL="0" indent="0" algn="l"/>
          <a:r>
            <a:rPr lang="en-US" sz="1600" b="0" i="0" u="none" strike="noStrike">
              <a:solidFill>
                <a:srgbClr val="000000"/>
              </a:solidFill>
              <a:latin typeface="Aptos Narrow" panose="020B0004020202020204" pitchFamily="34" charset="0"/>
            </a:rPr>
            <a:t>1) Stress, Strain, Deformation - Box should withstand force - Steven</a:t>
          </a:r>
        </a:p>
        <a:p>
          <a:pPr marL="0" indent="0" algn="l"/>
          <a:r>
            <a:rPr lang="en-US" sz="1600" b="1" i="0" u="none" strike="noStrike">
              <a:solidFill>
                <a:srgbClr val="000000"/>
              </a:solidFill>
              <a:latin typeface="Aptos Narrow" panose="020B0004020202020204" pitchFamily="34" charset="0"/>
            </a:rPr>
            <a:t>The main issue is that the box can bend or crack when force is applied because some of the walls and cover sections are too thin to handle the load. When the material is too weak or the design doesn’t properly support the force, the plastic starts to deform and can eventually break. This happens especially at spots where stress builds up, like corners or flat areas without support. If the print orientation or slicer settings aren’t ideal, the box becomes even weaker. Altogether, these factors make the box unable to withstand normal pressure, so the solution is to thicken the walls in key areas and reinforce the design, so it stays strong under load.</a:t>
          </a:r>
        </a:p>
        <a:p>
          <a:pPr marL="0" indent="0" algn="l"/>
          <a:endParaRPr lang="en-US" sz="1600" b="1" i="0" u="none" strike="noStrike">
            <a:solidFill>
              <a:srgbClr val="000000"/>
            </a:solidFill>
            <a:latin typeface="Aptos Narrow" panose="020B0004020202020204" pitchFamily="34" charset="0"/>
          </a:endParaRPr>
        </a:p>
        <a:p>
          <a:pPr marL="0" indent="0" algn="l"/>
          <a:r>
            <a:rPr lang="en-US" sz="1600" b="0" i="0" u="none" strike="noStrike">
              <a:solidFill>
                <a:srgbClr val="000000"/>
              </a:solidFill>
              <a:latin typeface="Aptos Narrow" panose="020B0004020202020204" pitchFamily="34" charset="0"/>
            </a:rPr>
            <a:t>2) Structural Flexibility - Withstand bending and twisting - Hemanth</a:t>
          </a:r>
        </a:p>
        <a:p>
          <a:pPr marL="0" indent="0" algn="l"/>
          <a:r>
            <a:rPr lang="en-US" sz="1600" b="1" i="0" u="none" strike="noStrike">
              <a:solidFill>
                <a:srgbClr val="000000"/>
              </a:solidFill>
              <a:latin typeface="Aptos Narrow" panose="020B0004020202020204" pitchFamily="34" charset="0"/>
            </a:rPr>
            <a:t>The lockbox may bend</a:t>
          </a:r>
          <a:r>
            <a:rPr lang="en-US" sz="1600" b="1" i="0" u="none" strike="noStrike" baseline="0">
              <a:solidFill>
                <a:srgbClr val="000000"/>
              </a:solidFill>
              <a:latin typeface="Aptos Narrow" panose="020B0004020202020204" pitchFamily="34" charset="0"/>
            </a:rPr>
            <a:t> or twist when handled unevenly, leading to misalignment of the latch and reduced durability. This is caused by thin walls, poor handling, and interal instability. </a:t>
          </a:r>
        </a:p>
        <a:p>
          <a:pPr marL="0" indent="0" algn="l"/>
          <a:endParaRPr lang="en-US" sz="1600" b="1" i="0" u="none" strike="noStrike">
            <a:solidFill>
              <a:srgbClr val="000000"/>
            </a:solidFill>
            <a:latin typeface="Aptos Narrow" panose="020B0004020202020204" pitchFamily="34" charset="0"/>
          </a:endParaRPr>
        </a:p>
        <a:p>
          <a:pPr marL="0" indent="0" algn="l"/>
          <a:r>
            <a:rPr lang="en-US" sz="1600" b="0" i="0" u="none" strike="noStrike">
              <a:solidFill>
                <a:srgbClr val="000000"/>
              </a:solidFill>
              <a:latin typeface="Aptos Narrow" panose="020B0004020202020204" pitchFamily="34" charset="0"/>
            </a:rPr>
            <a:t>3) Heat Durability - Box should withstand heat in various environments - Phyllip</a:t>
          </a:r>
        </a:p>
        <a:p>
          <a:pPr marL="0" indent="0" algn="l"/>
          <a:r>
            <a:rPr lang="en-US" sz="1600" b="1" i="0" u="none" strike="noStrike">
              <a:solidFill>
                <a:srgbClr val="000000"/>
              </a:solidFill>
              <a:latin typeface="Aptos Narrow" panose="020B0004020202020204" pitchFamily="34" charset="0"/>
            </a:rPr>
            <a:t>Since the box</a:t>
          </a:r>
          <a:r>
            <a:rPr lang="en-US" sz="1600" b="1" i="0" u="none" strike="noStrike" baseline="0">
              <a:solidFill>
                <a:srgbClr val="000000"/>
              </a:solidFill>
              <a:latin typeface="Aptos Narrow" panose="020B0004020202020204" pitchFamily="34" charset="0"/>
            </a:rPr>
            <a:t> will most likely be placed in a car, it should be able to withstand summer heat inside a car (which can be higher than theoutside temperature. Assuming it will be used in all four seasons, it also should be able to withstand colder temperatures as well. PLA should be good enough for withstanding this. </a:t>
          </a:r>
        </a:p>
        <a:p>
          <a:pPr marL="0" indent="0" algn="l"/>
          <a:endParaRPr lang="en-US" sz="1600" b="1" i="0" u="none" strike="noStrike">
            <a:solidFill>
              <a:srgbClr val="000000"/>
            </a:solidFill>
            <a:latin typeface="Aptos Narrow" panose="020B0004020202020204" pitchFamily="34" charset="0"/>
          </a:endParaRPr>
        </a:p>
        <a:p>
          <a:pPr marL="0" indent="0" algn="l"/>
          <a:r>
            <a:rPr lang="en-US" sz="1600" b="0" i="0" u="none" strike="noStrike">
              <a:solidFill>
                <a:srgbClr val="000000"/>
              </a:solidFill>
              <a:latin typeface="Aptos Narrow" panose="020B0004020202020204" pitchFamily="34" charset="0"/>
            </a:rPr>
            <a:t>4) Fit/Geometry Accuracy - ensure phone fits fully - Nick</a:t>
          </a:r>
        </a:p>
        <a:p>
          <a:pPr marL="0" indent="0" algn="l"/>
          <a:r>
            <a:rPr lang="en-US" sz="1600" b="1" i="0" u="none" strike="noStrike">
              <a:solidFill>
                <a:srgbClr val="000000"/>
              </a:solidFill>
              <a:latin typeface="Aptos Narrow" panose="020B0004020202020204" pitchFamily="34" charset="0"/>
            </a:rPr>
            <a:t>Another</a:t>
          </a:r>
          <a:r>
            <a:rPr lang="en-US" sz="1600" b="1" i="0" u="none" strike="noStrike" baseline="0">
              <a:solidFill>
                <a:srgbClr val="000000"/>
              </a:solidFill>
              <a:latin typeface="Aptos Narrow" panose="020B0004020202020204" pitchFamily="34" charset="0"/>
            </a:rPr>
            <a:t> one of our leading 5 failure modes that we will tke into account would be the corncern regarding fit and geometrical accuracy, which determines if a phone will fit within our box or not. We want to avoid both ends of the spectrum -- being too large, but also avoiding being too small -- as any geometrical deviation will either allow the phone to move around within the box or prevent the device from entering the box all together. To do this, we will have to take into account different manufacturers of devices and also consider the various geometries of these devices. By doing so, we can mention in a user manual with our product which devices are compatable with the box, which will improve the quality of life for our users (by avoiding unforseen frustraitions related to "a device not fitting as expected").</a:t>
          </a:r>
        </a:p>
        <a:p>
          <a:pPr marL="0" indent="0" algn="l"/>
          <a:endParaRPr lang="en-US" sz="1600" b="0" i="0" u="none" strike="noStrike">
            <a:solidFill>
              <a:srgbClr val="000000"/>
            </a:solidFill>
            <a:latin typeface="Aptos Narrow" panose="020B0004020202020204" pitchFamily="34" charset="0"/>
          </a:endParaRPr>
        </a:p>
        <a:p>
          <a:pPr marL="0" indent="0" algn="l"/>
          <a:r>
            <a:rPr lang="en-US" sz="1600" b="0" i="0" u="none" strike="noStrike">
              <a:solidFill>
                <a:srgbClr val="000000"/>
              </a:solidFill>
              <a:latin typeface="Aptos Narrow" panose="020B0004020202020204" pitchFamily="34" charset="0"/>
            </a:rPr>
            <a:t>5)  Manufacturability</a:t>
          </a:r>
          <a:r>
            <a:rPr lang="en-US" sz="1600" b="0" i="0" u="none" strike="noStrike" baseline="0">
              <a:solidFill>
                <a:srgbClr val="000000"/>
              </a:solidFill>
              <a:latin typeface="Aptos Narrow" panose="020B0004020202020204" pitchFamily="34" charset="0"/>
            </a:rPr>
            <a:t>  - Phyllip</a:t>
          </a:r>
        </a:p>
        <a:p>
          <a:pPr marL="0" indent="0" algn="l"/>
          <a:r>
            <a:rPr lang="en-US" sz="1600" b="1" i="0" u="none" strike="noStrike" baseline="0">
              <a:solidFill>
                <a:srgbClr val="000000"/>
              </a:solidFill>
              <a:latin typeface="Aptos Narrow" panose="020B0004020202020204" pitchFamily="34" charset="0"/>
            </a:rPr>
            <a:t>In 3D printing, the orientation of the print should take into consideration the orientation of the pring and thickeness of plastic to improve durability and ensure delamination will not occur. The prints will be oriented in a way that prevents layers from coming apart and to protect the 3D printer. Items such as suppports and brimming will be used to account for this to ensure the print will turn out successfully. </a:t>
          </a:r>
        </a:p>
        <a:p>
          <a:pPr marL="0" indent="0" algn="l"/>
          <a:endParaRPr lang="en-US" sz="1600" b="0" i="0" u="none" strike="noStrike" baseline="0">
            <a:solidFill>
              <a:srgbClr val="000000"/>
            </a:solidFill>
            <a:latin typeface="Aptos Narrow" panose="020B0004020202020204" pitchFamily="34" charset="0"/>
          </a:endParaRPr>
        </a:p>
        <a:p>
          <a:pPr marL="0" indent="0" algn="l"/>
          <a:endParaRPr lang="en-US" sz="1600" b="0" i="0" u="none" strike="noStrike" baseline="0">
            <a:solidFill>
              <a:srgbClr val="000000"/>
            </a:solidFill>
            <a:latin typeface="Aptos Narrow" panose="020B0004020202020204" pitchFamily="34" charset="0"/>
          </a:endParaRPr>
        </a:p>
        <a:p>
          <a:pPr marL="0" indent="0" algn="l"/>
          <a:endParaRPr lang="en-US" sz="1600" b="0" i="0" u="none" strike="noStrike">
            <a:solidFill>
              <a:srgbClr val="000000"/>
            </a:solidFill>
            <a:latin typeface="Aptos Narrow" panose="020B0004020202020204" pitchFamily="34" charset="0"/>
          </a:endParaRPr>
        </a:p>
        <a:p>
          <a:pPr marL="0" indent="0" algn="l"/>
          <a:endParaRPr lang="en-US" sz="1600" b="0" i="0" u="none" strike="noStrike">
            <a:solidFill>
              <a:srgbClr val="000000"/>
            </a:solidFill>
            <a:latin typeface="Aptos Narrow" panose="020B00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9C7E2-9DB7-41B5-B471-3A64AAB8F678}">
  <sheetPr>
    <pageSetUpPr fitToPage="1"/>
  </sheetPr>
  <dimension ref="A2:S28"/>
  <sheetViews>
    <sheetView tabSelected="1" zoomScale="61" workbookViewId="0">
      <selection activeCell="E9" sqref="E9:E10"/>
    </sheetView>
  </sheetViews>
  <sheetFormatPr defaultRowHeight="13.15"/>
  <cols>
    <col min="2" max="2" width="25.42578125" customWidth="1"/>
    <col min="3" max="3" width="28.5703125" customWidth="1"/>
    <col min="4" max="4" width="40.28515625" customWidth="1"/>
    <col min="5" max="5" width="35.5703125" bestFit="1" customWidth="1"/>
    <col min="6" max="6" width="6.42578125" customWidth="1"/>
    <col min="7" max="7" width="32.5703125" customWidth="1"/>
    <col min="8" max="8" width="6.42578125" customWidth="1"/>
    <col min="9" max="9" width="22.42578125" customWidth="1"/>
    <col min="10" max="10" width="6.42578125" bestFit="1" customWidth="1"/>
    <col min="11" max="11" width="5.28515625" customWidth="1"/>
    <col min="12" max="12" width="28.85546875" customWidth="1"/>
    <col min="13" max="13" width="17" customWidth="1"/>
    <col min="14" max="14" width="29.7109375" customWidth="1"/>
    <col min="15" max="18" width="3.5703125" bestFit="1" customWidth="1"/>
  </cols>
  <sheetData>
    <row r="2" spans="1:19" ht="15.6">
      <c r="B2" s="7"/>
      <c r="C2" s="32" t="s">
        <v>0</v>
      </c>
      <c r="D2" s="32"/>
      <c r="E2" s="32"/>
      <c r="F2" s="32"/>
      <c r="G2" s="32"/>
      <c r="H2" s="32"/>
      <c r="I2" s="32"/>
      <c r="J2" s="32"/>
      <c r="K2" s="32"/>
      <c r="L2" s="32"/>
      <c r="M2" s="32"/>
      <c r="N2" s="8"/>
      <c r="O2" s="8"/>
      <c r="P2" s="8"/>
      <c r="Q2" s="8"/>
      <c r="R2" s="9"/>
    </row>
    <row r="3" spans="1:19">
      <c r="B3" s="10"/>
      <c r="N3" s="2" t="s">
        <v>1</v>
      </c>
      <c r="O3" s="40">
        <v>1</v>
      </c>
      <c r="P3" s="40"/>
      <c r="Q3" s="40"/>
      <c r="R3" s="41"/>
    </row>
    <row r="4" spans="1:19" ht="15">
      <c r="B4" s="11" t="s">
        <v>2</v>
      </c>
      <c r="C4" s="3"/>
      <c r="D4" s="3"/>
      <c r="E4" s="3"/>
      <c r="F4" s="3"/>
      <c r="G4" s="3"/>
      <c r="H4" s="3"/>
      <c r="I4" s="3"/>
      <c r="J4" s="3"/>
      <c r="K4" s="4" t="s">
        <v>3</v>
      </c>
      <c r="L4" s="16" t="s">
        <v>4</v>
      </c>
      <c r="N4" s="4" t="s">
        <v>5</v>
      </c>
      <c r="O4" s="42" t="s">
        <v>6</v>
      </c>
      <c r="P4" s="40"/>
      <c r="Q4" s="40"/>
      <c r="R4" s="41"/>
    </row>
    <row r="5" spans="1:19" ht="15">
      <c r="B5" s="11"/>
      <c r="C5" s="15" t="s">
        <v>7</v>
      </c>
      <c r="D5" s="3"/>
      <c r="E5" s="3"/>
      <c r="F5" s="3"/>
      <c r="G5" s="3"/>
      <c r="H5" s="3"/>
      <c r="I5" s="3"/>
      <c r="J5" s="3"/>
      <c r="K5" s="3"/>
      <c r="L5" s="17" t="s">
        <v>8</v>
      </c>
      <c r="N5" s="4" t="s">
        <v>9</v>
      </c>
      <c r="O5" s="42" t="s">
        <v>10</v>
      </c>
      <c r="P5" s="40"/>
      <c r="Q5" s="40"/>
      <c r="R5" s="41"/>
    </row>
    <row r="6" spans="1:19" ht="15">
      <c r="B6" s="12"/>
      <c r="C6" s="3" t="s">
        <v>11</v>
      </c>
      <c r="D6" s="38" t="s">
        <v>12</v>
      </c>
      <c r="E6" s="38"/>
      <c r="F6" s="38"/>
      <c r="G6" s="37" t="s">
        <v>13</v>
      </c>
      <c r="H6" s="37"/>
      <c r="I6" s="37"/>
      <c r="J6" s="37"/>
      <c r="K6" s="3"/>
      <c r="L6" s="14" t="s">
        <v>14</v>
      </c>
      <c r="N6" s="4" t="s">
        <v>15</v>
      </c>
      <c r="O6" s="43">
        <v>45982</v>
      </c>
      <c r="P6" s="40"/>
      <c r="Q6" s="40"/>
      <c r="R6" s="41"/>
    </row>
    <row r="7" spans="1:19" ht="15">
      <c r="B7" s="12"/>
      <c r="C7" s="3" t="s">
        <v>16</v>
      </c>
      <c r="D7" s="38" t="s">
        <v>17</v>
      </c>
      <c r="E7" s="38"/>
      <c r="F7" s="38"/>
      <c r="G7" s="37" t="s">
        <v>18</v>
      </c>
      <c r="H7" s="37"/>
      <c r="I7" s="37"/>
      <c r="J7" s="37"/>
      <c r="K7" s="3"/>
      <c r="L7" s="17" t="s">
        <v>19</v>
      </c>
      <c r="N7" s="4" t="s">
        <v>20</v>
      </c>
      <c r="O7" s="42">
        <v>1</v>
      </c>
      <c r="P7" s="40"/>
      <c r="Q7" s="40"/>
      <c r="R7" s="41"/>
    </row>
    <row r="8" spans="1:19" ht="15">
      <c r="B8" s="12"/>
      <c r="C8" s="3"/>
      <c r="D8" s="3"/>
      <c r="E8" s="3"/>
      <c r="F8" s="3"/>
      <c r="G8" s="3"/>
      <c r="H8" s="3"/>
      <c r="I8" s="3"/>
      <c r="J8" s="3"/>
      <c r="K8" s="3"/>
      <c r="M8" s="3"/>
      <c r="N8" s="3"/>
      <c r="O8" s="3"/>
      <c r="P8" s="3"/>
      <c r="Q8" s="3"/>
      <c r="R8" s="13"/>
    </row>
    <row r="9" spans="1:19" ht="15">
      <c r="B9" s="51" t="s">
        <v>21</v>
      </c>
      <c r="C9" s="52" t="s">
        <v>22</v>
      </c>
      <c r="D9" s="53" t="s">
        <v>23</v>
      </c>
      <c r="E9" s="35" t="s">
        <v>24</v>
      </c>
      <c r="F9" s="33" t="s">
        <v>25</v>
      </c>
      <c r="G9" s="35" t="s">
        <v>26</v>
      </c>
      <c r="H9" s="33" t="s">
        <v>27</v>
      </c>
      <c r="I9" s="35" t="s">
        <v>28</v>
      </c>
      <c r="J9" s="33" t="s">
        <v>29</v>
      </c>
      <c r="K9" s="33" t="s">
        <v>30</v>
      </c>
      <c r="L9" s="35" t="s">
        <v>31</v>
      </c>
      <c r="M9" s="35" t="s">
        <v>32</v>
      </c>
      <c r="N9" s="44" t="s">
        <v>33</v>
      </c>
      <c r="O9" s="45"/>
      <c r="P9" s="45"/>
      <c r="Q9" s="45"/>
      <c r="R9" s="46"/>
    </row>
    <row r="10" spans="1:19" ht="162.6" customHeight="1">
      <c r="B10" s="51"/>
      <c r="C10" s="52"/>
      <c r="D10" s="54"/>
      <c r="E10" s="36"/>
      <c r="F10" s="34"/>
      <c r="G10" s="36"/>
      <c r="H10" s="34"/>
      <c r="I10" s="36"/>
      <c r="J10" s="34"/>
      <c r="K10" s="34"/>
      <c r="L10" s="36"/>
      <c r="M10" s="36"/>
      <c r="N10" s="5" t="s">
        <v>34</v>
      </c>
      <c r="O10" s="6" t="s">
        <v>35</v>
      </c>
      <c r="P10" s="6" t="s">
        <v>36</v>
      </c>
      <c r="Q10" s="6" t="s">
        <v>37</v>
      </c>
      <c r="R10" s="6" t="s">
        <v>38</v>
      </c>
      <c r="S10" s="1"/>
    </row>
    <row r="11" spans="1:19" ht="37.5" customHeight="1">
      <c r="A11">
        <v>1</v>
      </c>
      <c r="B11" s="47" t="s">
        <v>39</v>
      </c>
      <c r="C11" s="47"/>
      <c r="D11" s="20" t="s">
        <v>40</v>
      </c>
      <c r="E11" s="19" t="s">
        <v>41</v>
      </c>
      <c r="F11" s="18">
        <v>7</v>
      </c>
      <c r="G11" s="18" t="s">
        <v>42</v>
      </c>
      <c r="H11" s="18">
        <v>5</v>
      </c>
      <c r="I11" s="18" t="s">
        <v>43</v>
      </c>
      <c r="J11" s="18">
        <v>3</v>
      </c>
      <c r="K11" s="18">
        <f>F11*H11*J11</f>
        <v>105</v>
      </c>
      <c r="L11" s="18" t="s">
        <v>44</v>
      </c>
      <c r="M11" s="22" t="s">
        <v>45</v>
      </c>
      <c r="N11" s="18" t="s">
        <v>46</v>
      </c>
      <c r="O11" s="18">
        <v>5</v>
      </c>
      <c r="P11" s="18">
        <v>2</v>
      </c>
      <c r="Q11" s="18">
        <v>2</v>
      </c>
      <c r="R11" s="18">
        <f t="shared" ref="R11:R15" si="0">O11*P11*Q11</f>
        <v>20</v>
      </c>
    </row>
    <row r="12" spans="1:19" ht="39.75" customHeight="1">
      <c r="A12">
        <v>2</v>
      </c>
      <c r="B12" s="48" t="s">
        <v>47</v>
      </c>
      <c r="C12" s="48"/>
      <c r="D12" s="20" t="s">
        <v>48</v>
      </c>
      <c r="E12" s="20" t="s">
        <v>49</v>
      </c>
      <c r="F12" s="18">
        <v>8</v>
      </c>
      <c r="G12" s="18" t="s">
        <v>50</v>
      </c>
      <c r="H12" s="18">
        <v>4</v>
      </c>
      <c r="I12" s="21" t="s">
        <v>51</v>
      </c>
      <c r="J12" s="18">
        <v>3</v>
      </c>
      <c r="K12" s="18">
        <f t="shared" ref="K12:K20" si="1">F12*H12*J12</f>
        <v>96</v>
      </c>
      <c r="L12" s="18" t="s">
        <v>52</v>
      </c>
      <c r="M12" s="22" t="s">
        <v>45</v>
      </c>
      <c r="N12" s="18" t="s">
        <v>53</v>
      </c>
      <c r="O12" s="18">
        <v>6</v>
      </c>
      <c r="P12" s="18">
        <v>2</v>
      </c>
      <c r="Q12" s="18">
        <v>3</v>
      </c>
      <c r="R12" s="18">
        <f t="shared" si="0"/>
        <v>36</v>
      </c>
    </row>
    <row r="13" spans="1:19" ht="28.5" customHeight="1">
      <c r="A13">
        <v>3</v>
      </c>
      <c r="B13" s="49" t="s">
        <v>54</v>
      </c>
      <c r="C13" s="49"/>
      <c r="D13" s="26" t="s">
        <v>55</v>
      </c>
      <c r="E13" s="21" t="s">
        <v>56</v>
      </c>
      <c r="F13" s="18">
        <v>6</v>
      </c>
      <c r="G13" s="18" t="s">
        <v>57</v>
      </c>
      <c r="H13" s="23">
        <v>3</v>
      </c>
      <c r="I13" s="18" t="s">
        <v>58</v>
      </c>
      <c r="J13" s="20">
        <v>5</v>
      </c>
      <c r="K13" s="18">
        <f t="shared" si="1"/>
        <v>90</v>
      </c>
      <c r="L13" s="18" t="s">
        <v>59</v>
      </c>
      <c r="M13" s="25" t="s">
        <v>60</v>
      </c>
      <c r="N13" s="18" t="s">
        <v>61</v>
      </c>
      <c r="O13" s="18"/>
      <c r="P13" s="18"/>
      <c r="Q13" s="18"/>
      <c r="R13" s="18">
        <f t="shared" si="0"/>
        <v>0</v>
      </c>
    </row>
    <row r="14" spans="1:19" ht="28.5" customHeight="1">
      <c r="A14">
        <v>4</v>
      </c>
      <c r="B14" s="39" t="s">
        <v>62</v>
      </c>
      <c r="C14" s="39"/>
      <c r="D14" s="25" t="s">
        <v>63</v>
      </c>
      <c r="E14" s="25" t="s">
        <v>64</v>
      </c>
      <c r="F14" s="20">
        <v>4</v>
      </c>
      <c r="G14" s="19" t="s">
        <v>65</v>
      </c>
      <c r="H14" s="18">
        <v>6</v>
      </c>
      <c r="I14" s="19" t="s">
        <v>66</v>
      </c>
      <c r="J14" s="18">
        <v>4</v>
      </c>
      <c r="K14" s="18">
        <f t="shared" si="1"/>
        <v>96</v>
      </c>
      <c r="L14" s="19" t="s">
        <v>67</v>
      </c>
      <c r="M14" s="29" t="s">
        <v>68</v>
      </c>
      <c r="N14" s="27" t="s">
        <v>69</v>
      </c>
      <c r="O14" s="18"/>
      <c r="P14" s="18"/>
      <c r="Q14" s="18"/>
      <c r="R14" s="18">
        <f t="shared" si="0"/>
        <v>0</v>
      </c>
    </row>
    <row r="15" spans="1:19" ht="52.5" customHeight="1">
      <c r="A15">
        <v>5</v>
      </c>
      <c r="B15" s="50" t="s">
        <v>70</v>
      </c>
      <c r="C15" s="39"/>
      <c r="D15" s="24" t="s">
        <v>71</v>
      </c>
      <c r="E15" s="24" t="s">
        <v>72</v>
      </c>
      <c r="F15" s="20">
        <v>8</v>
      </c>
      <c r="G15" s="18" t="s">
        <v>73</v>
      </c>
      <c r="H15" s="18">
        <v>5</v>
      </c>
      <c r="I15" s="18" t="s">
        <v>74</v>
      </c>
      <c r="J15" s="18">
        <v>6</v>
      </c>
      <c r="K15" s="18">
        <f t="shared" si="1"/>
        <v>240</v>
      </c>
      <c r="L15" s="18" t="s">
        <v>75</v>
      </c>
      <c r="M15" s="24" t="s">
        <v>76</v>
      </c>
      <c r="N15" s="18" t="s">
        <v>77</v>
      </c>
      <c r="O15" s="18">
        <v>5</v>
      </c>
      <c r="P15" s="18">
        <v>2</v>
      </c>
      <c r="Q15" s="18">
        <v>3</v>
      </c>
      <c r="R15" s="18">
        <f t="shared" si="0"/>
        <v>30</v>
      </c>
    </row>
    <row r="16" spans="1:19" ht="28.5" customHeight="1">
      <c r="A16">
        <v>6</v>
      </c>
      <c r="B16" s="39" t="s">
        <v>78</v>
      </c>
      <c r="C16" s="39"/>
      <c r="D16" s="25" t="s">
        <v>79</v>
      </c>
      <c r="E16" s="25" t="s">
        <v>80</v>
      </c>
      <c r="F16" s="20">
        <v>6</v>
      </c>
      <c r="G16" s="18" t="s">
        <v>81</v>
      </c>
      <c r="H16" s="18">
        <v>7</v>
      </c>
      <c r="I16" s="18" t="s">
        <v>82</v>
      </c>
      <c r="J16" s="18">
        <v>3</v>
      </c>
      <c r="K16" s="18">
        <f t="shared" si="1"/>
        <v>126</v>
      </c>
      <c r="L16" s="18" t="s">
        <v>83</v>
      </c>
      <c r="M16" s="18" t="s">
        <v>84</v>
      </c>
      <c r="N16" s="18" t="s">
        <v>85</v>
      </c>
      <c r="O16" s="18">
        <v>6</v>
      </c>
      <c r="P16" s="18">
        <v>3</v>
      </c>
      <c r="Q16" s="18">
        <v>2</v>
      </c>
      <c r="R16" s="18">
        <f>O16*P16*Q16</f>
        <v>36</v>
      </c>
    </row>
    <row r="17" spans="1:18" ht="28.5" customHeight="1">
      <c r="A17">
        <v>7</v>
      </c>
      <c r="B17" s="47" t="s">
        <v>86</v>
      </c>
      <c r="C17" s="47"/>
      <c r="D17" s="25" t="s">
        <v>87</v>
      </c>
      <c r="E17" s="25" t="s">
        <v>88</v>
      </c>
      <c r="F17" s="18">
        <v>9</v>
      </c>
      <c r="G17" s="18" t="s">
        <v>89</v>
      </c>
      <c r="H17" s="18">
        <v>3</v>
      </c>
      <c r="I17" s="18" t="s">
        <v>90</v>
      </c>
      <c r="J17" s="18">
        <v>5</v>
      </c>
      <c r="K17" s="18">
        <f t="shared" si="1"/>
        <v>135</v>
      </c>
      <c r="L17" s="18" t="s">
        <v>91</v>
      </c>
      <c r="M17" s="18" t="s">
        <v>60</v>
      </c>
      <c r="N17" s="18" t="s">
        <v>92</v>
      </c>
      <c r="O17" s="18"/>
      <c r="P17" s="18"/>
      <c r="Q17" s="18"/>
      <c r="R17" s="18">
        <f t="shared" ref="R17:R20" si="2">O17*P17*Q17</f>
        <v>0</v>
      </c>
    </row>
    <row r="18" spans="1:18" ht="59.25" customHeight="1">
      <c r="A18">
        <v>8</v>
      </c>
      <c r="B18" s="56" t="s">
        <v>93</v>
      </c>
      <c r="C18" s="48"/>
      <c r="D18" s="24" t="s">
        <v>94</v>
      </c>
      <c r="E18" s="24" t="s">
        <v>95</v>
      </c>
      <c r="F18" s="18">
        <v>6</v>
      </c>
      <c r="G18" s="18" t="s">
        <v>96</v>
      </c>
      <c r="H18" s="18">
        <v>3</v>
      </c>
      <c r="I18" s="18" t="s">
        <v>97</v>
      </c>
      <c r="J18" s="18">
        <v>3</v>
      </c>
      <c r="K18" s="18">
        <f t="shared" si="1"/>
        <v>54</v>
      </c>
      <c r="L18" s="18" t="s">
        <v>98</v>
      </c>
      <c r="M18" s="22" t="s">
        <v>76</v>
      </c>
      <c r="N18" s="18" t="s">
        <v>99</v>
      </c>
      <c r="O18" s="18">
        <v>4</v>
      </c>
      <c r="P18" s="18">
        <v>3</v>
      </c>
      <c r="Q18" s="18">
        <v>1</v>
      </c>
      <c r="R18" s="18">
        <f t="shared" si="2"/>
        <v>12</v>
      </c>
    </row>
    <row r="19" spans="1:18" ht="28.5" customHeight="1">
      <c r="A19">
        <v>9</v>
      </c>
      <c r="B19" s="57" t="s">
        <v>100</v>
      </c>
      <c r="C19" s="49"/>
      <c r="D19" s="28" t="s">
        <v>101</v>
      </c>
      <c r="E19" s="28" t="s">
        <v>102</v>
      </c>
      <c r="F19" s="21">
        <v>5</v>
      </c>
      <c r="G19" s="27" t="s">
        <v>103</v>
      </c>
      <c r="H19" s="21">
        <v>2</v>
      </c>
      <c r="I19" s="19" t="s">
        <v>104</v>
      </c>
      <c r="J19" s="21">
        <v>2</v>
      </c>
      <c r="K19" s="21">
        <f t="shared" si="1"/>
        <v>20</v>
      </c>
      <c r="L19" s="19" t="s">
        <v>105</v>
      </c>
      <c r="M19" s="28" t="s">
        <v>68</v>
      </c>
      <c r="N19" s="27" t="s">
        <v>106</v>
      </c>
      <c r="O19" s="21"/>
      <c r="P19" s="21"/>
      <c r="Q19" s="21"/>
      <c r="R19" s="18">
        <f t="shared" si="2"/>
        <v>0</v>
      </c>
    </row>
    <row r="20" spans="1:18" ht="38.25" customHeight="1">
      <c r="A20">
        <v>10</v>
      </c>
      <c r="B20" s="39" t="s">
        <v>107</v>
      </c>
      <c r="C20" s="39"/>
      <c r="D20" s="25" t="s">
        <v>108</v>
      </c>
      <c r="E20" s="25" t="s">
        <v>109</v>
      </c>
      <c r="F20" s="25">
        <v>4</v>
      </c>
      <c r="G20" s="25" t="s">
        <v>110</v>
      </c>
      <c r="H20" s="25">
        <v>4</v>
      </c>
      <c r="I20" s="25" t="s">
        <v>66</v>
      </c>
      <c r="J20" s="25">
        <v>5</v>
      </c>
      <c r="K20" s="25">
        <f t="shared" si="1"/>
        <v>80</v>
      </c>
      <c r="L20" s="25" t="s">
        <v>111</v>
      </c>
      <c r="M20" s="30" t="s">
        <v>60</v>
      </c>
      <c r="N20" s="31" t="s">
        <v>112</v>
      </c>
      <c r="O20" s="25"/>
      <c r="P20" s="25"/>
      <c r="Q20" s="25"/>
      <c r="R20" s="18">
        <f t="shared" si="2"/>
        <v>0</v>
      </c>
    </row>
    <row r="21" spans="1:18" ht="28.5" customHeight="1">
      <c r="B21" s="55"/>
      <c r="C21" s="55"/>
      <c r="D21" s="19"/>
      <c r="E21" s="19"/>
      <c r="F21" s="19"/>
      <c r="G21" s="19"/>
      <c r="H21" s="19"/>
      <c r="I21" s="19"/>
      <c r="J21" s="19"/>
      <c r="K21" s="19"/>
      <c r="L21" s="19"/>
      <c r="M21" s="19"/>
      <c r="N21" s="19"/>
      <c r="O21" s="19"/>
      <c r="P21" s="19"/>
      <c r="Q21" s="19"/>
      <c r="R21" s="19"/>
    </row>
    <row r="22" spans="1:18" ht="28.5" customHeight="1">
      <c r="B22" s="55"/>
      <c r="C22" s="55"/>
      <c r="D22" s="19"/>
      <c r="E22" s="19"/>
      <c r="F22" s="19"/>
      <c r="G22" s="19"/>
      <c r="H22" s="19"/>
      <c r="I22" s="19"/>
      <c r="J22" s="19"/>
      <c r="K22" s="19"/>
      <c r="L22" s="19"/>
      <c r="M22" s="19"/>
      <c r="N22" s="19"/>
      <c r="O22" s="19"/>
      <c r="P22" s="19"/>
      <c r="Q22" s="19"/>
      <c r="R22" s="19"/>
    </row>
    <row r="23" spans="1:18" ht="180.75" customHeight="1">
      <c r="B23" s="58" t="s">
        <v>113</v>
      </c>
      <c r="C23" s="55"/>
      <c r="D23" s="19"/>
      <c r="E23" s="19"/>
      <c r="F23" s="19"/>
      <c r="G23" s="19"/>
      <c r="H23" s="19"/>
      <c r="I23" s="19"/>
      <c r="J23" s="19"/>
      <c r="K23" s="19"/>
      <c r="L23" s="19"/>
      <c r="M23" s="19"/>
      <c r="N23" s="19"/>
      <c r="O23" s="19"/>
      <c r="P23" s="19"/>
      <c r="Q23" s="19"/>
      <c r="R23" s="19"/>
    </row>
    <row r="24" spans="1:18" ht="28.5" customHeight="1">
      <c r="B24" s="55"/>
      <c r="C24" s="55"/>
      <c r="D24" s="19"/>
      <c r="E24" s="19"/>
      <c r="F24" s="19"/>
      <c r="G24" s="19"/>
      <c r="H24" s="19"/>
      <c r="I24" s="19"/>
      <c r="J24" s="19"/>
      <c r="K24" s="19"/>
      <c r="L24" s="19"/>
      <c r="M24" s="19"/>
      <c r="N24" s="19"/>
      <c r="O24" s="19"/>
      <c r="P24" s="19"/>
      <c r="Q24" s="19"/>
      <c r="R24" s="19"/>
    </row>
    <row r="25" spans="1:18" ht="28.5" customHeight="1">
      <c r="B25" s="55"/>
      <c r="C25" s="55"/>
      <c r="D25" s="19"/>
      <c r="E25" s="19"/>
      <c r="F25" s="19"/>
      <c r="G25" s="19"/>
      <c r="H25" s="19"/>
      <c r="I25" s="19"/>
      <c r="J25" s="19"/>
      <c r="K25" s="19"/>
      <c r="L25" s="19"/>
      <c r="M25" s="19"/>
      <c r="N25" s="19"/>
      <c r="O25" s="19"/>
      <c r="P25" s="19"/>
      <c r="Q25" s="19"/>
      <c r="R25" s="19"/>
    </row>
    <row r="26" spans="1:18" ht="28.5" customHeight="1">
      <c r="B26" s="55"/>
      <c r="C26" s="55"/>
      <c r="D26" s="19"/>
      <c r="E26" s="19"/>
      <c r="F26" s="19"/>
      <c r="G26" s="19"/>
      <c r="H26" s="19"/>
      <c r="I26" s="19"/>
      <c r="J26" s="19"/>
      <c r="K26" s="19"/>
      <c r="L26" s="19"/>
      <c r="M26" s="19"/>
      <c r="N26" s="19"/>
      <c r="O26" s="19"/>
      <c r="P26" s="19"/>
      <c r="Q26" s="19"/>
      <c r="R26" s="19"/>
    </row>
    <row r="27" spans="1:18" ht="28.5" customHeight="1">
      <c r="B27" s="55"/>
      <c r="C27" s="55"/>
      <c r="D27" s="19"/>
      <c r="E27" s="19"/>
      <c r="F27" s="19"/>
      <c r="G27" s="19"/>
      <c r="H27" s="19"/>
      <c r="I27" s="19"/>
      <c r="J27" s="19"/>
      <c r="K27" s="19"/>
      <c r="L27" s="19"/>
      <c r="M27" s="19"/>
      <c r="N27" s="19"/>
      <c r="O27" s="19"/>
      <c r="P27" s="19"/>
      <c r="Q27" s="19"/>
      <c r="R27" s="19"/>
    </row>
    <row r="28" spans="1:18" ht="28.5" customHeight="1">
      <c r="B28" s="55"/>
      <c r="C28" s="55"/>
      <c r="D28" s="19"/>
      <c r="E28" s="19"/>
      <c r="F28" s="19"/>
      <c r="G28" s="19"/>
      <c r="H28" s="19"/>
      <c r="I28" s="19"/>
      <c r="J28" s="19"/>
      <c r="K28" s="19"/>
      <c r="L28" s="19"/>
      <c r="M28" s="19"/>
      <c r="N28" s="19"/>
      <c r="O28" s="19"/>
      <c r="P28" s="19"/>
      <c r="Q28" s="19"/>
      <c r="R28" s="19"/>
    </row>
  </sheetData>
  <mergeCells count="41">
    <mergeCell ref="B9:B10"/>
    <mergeCell ref="C9:C10"/>
    <mergeCell ref="D9:D10"/>
    <mergeCell ref="E9:E10"/>
    <mergeCell ref="B28:C28"/>
    <mergeCell ref="B17:C17"/>
    <mergeCell ref="B18:C18"/>
    <mergeCell ref="B19:C19"/>
    <mergeCell ref="B20:C20"/>
    <mergeCell ref="B21:C21"/>
    <mergeCell ref="B22:C22"/>
    <mergeCell ref="B23:C23"/>
    <mergeCell ref="B24:C24"/>
    <mergeCell ref="B25:C25"/>
    <mergeCell ref="B27:C27"/>
    <mergeCell ref="B26:C26"/>
    <mergeCell ref="B16:C16"/>
    <mergeCell ref="O3:R3"/>
    <mergeCell ref="O4:R4"/>
    <mergeCell ref="O5:R5"/>
    <mergeCell ref="O6:R6"/>
    <mergeCell ref="O7:R7"/>
    <mergeCell ref="D6:F6"/>
    <mergeCell ref="G6:J6"/>
    <mergeCell ref="N9:R9"/>
    <mergeCell ref="B11:C11"/>
    <mergeCell ref="B12:C12"/>
    <mergeCell ref="B13:C13"/>
    <mergeCell ref="B14:C14"/>
    <mergeCell ref="B15:C15"/>
    <mergeCell ref="L9:L10"/>
    <mergeCell ref="M9:M10"/>
    <mergeCell ref="C2:M2"/>
    <mergeCell ref="F9:F10"/>
    <mergeCell ref="G9:G10"/>
    <mergeCell ref="H9:H10"/>
    <mergeCell ref="I9:I10"/>
    <mergeCell ref="J9:J10"/>
    <mergeCell ref="K9:K10"/>
    <mergeCell ref="G7:J7"/>
    <mergeCell ref="D7:F7"/>
  </mergeCells>
  <phoneticPr fontId="0" type="noConversion"/>
  <printOptions horizontalCentered="1" verticalCentered="1"/>
  <pageMargins left="0.5" right="0.5" top="0.75" bottom="0.75" header="0.5" footer="0.5"/>
  <pageSetup scale="7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6D9D-3AC4-4166-80F8-0E154789F111}">
  <dimension ref="A1"/>
  <sheetViews>
    <sheetView workbookViewId="0"/>
  </sheetViews>
  <sheetFormatPr defaultRowHeight="13.1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EE44-AEFF-4215-9088-BE1B0F05A819}">
  <dimension ref="A1"/>
  <sheetViews>
    <sheetView workbookViewId="0"/>
  </sheetViews>
  <sheetFormatPr defaultRowHeight="13.15"/>
  <sheetData/>
  <phoneticPr fontId="0" type="noConversion"/>
  <pageMargins left="0.75" right="0.75" top="1" bottom="1" header="0.5" footer="0.5"/>
  <headerFooter alignWithMargins="0"/>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Penn State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Timothy W. Simpson</dc:creator>
  <cp:keywords/>
  <dc:description/>
  <cp:lastModifiedBy/>
  <cp:revision/>
  <dcterms:created xsi:type="dcterms:W3CDTF">2005-03-20T19:39:54Z</dcterms:created>
  <dcterms:modified xsi:type="dcterms:W3CDTF">2025-12-09T00:39:41Z</dcterms:modified>
  <cp:category/>
  <cp:contentStatus/>
</cp:coreProperties>
</file>